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ructure budgetaire" sheetId="1" state="visible" r:id="rId3"/>
    <sheet name="Budget previsionnel" sheetId="2" state="visible" r:id="rId4"/>
    <sheet name="Grand livre" sheetId="3" state="visible" r:id="rId5"/>
    <sheet name="Synthe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<sst xmlns="http://schemas.openxmlformats.org/spreadsheetml/2006/main" count="504" uniqueCount="153">
  <si>
    <t xml:space="preserve">Sauve un arbre - Structure budgetaire generale</t>
  </si>
  <si>
    <t xml:space="preserve">Code</t>
  </si>
  <si>
    <t xml:space="preserve">Libelle</t>
  </si>
  <si>
    <t xml:space="preserve">Niveau</t>
  </si>
  <si>
    <t xml:space="preserve">1</t>
  </si>
  <si>
    <t xml:space="preserve">Frais generaux</t>
  </si>
  <si>
    <t xml:space="preserve">1.1</t>
  </si>
  <si>
    <t xml:space="preserve">Salaires</t>
  </si>
  <si>
    <t xml:space="preserve">1.1.1</t>
  </si>
  <si>
    <t xml:space="preserve">Directeur</t>
  </si>
  <si>
    <t xml:space="preserve">1.1.2</t>
  </si>
  <si>
    <t xml:space="preserve">Responsable financier</t>
  </si>
  <si>
    <t xml:space="preserve">1.1.3</t>
  </si>
  <si>
    <t xml:space="preserve">Charge de programme</t>
  </si>
  <si>
    <t xml:space="preserve">1.1.4</t>
  </si>
  <si>
    <t xml:space="preserve">Responsable communication</t>
  </si>
  <si>
    <t xml:space="preserve">1.1.5</t>
  </si>
  <si>
    <t xml:space="preserve">Formateurs (x2)</t>
  </si>
  <si>
    <t xml:space="preserve">1.2</t>
  </si>
  <si>
    <t xml:space="preserve">Bureaux</t>
  </si>
  <si>
    <t xml:space="preserve">1.2.1</t>
  </si>
  <si>
    <t xml:space="preserve">Loyer</t>
  </si>
  <si>
    <t xml:space="preserve">1.2.2</t>
  </si>
  <si>
    <t xml:space="preserve">Charges (eau/electricite/internet)</t>
  </si>
  <si>
    <t xml:space="preserve">1.3</t>
  </si>
  <si>
    <t xml:space="preserve">Frais administratifs</t>
  </si>
  <si>
    <t xml:space="preserve">1.3.1</t>
  </si>
  <si>
    <t xml:space="preserve">Fournitures de bureau</t>
  </si>
  <si>
    <t xml:space="preserve">1.3.2</t>
  </si>
  <si>
    <t xml:space="preserve">Audit / comptabilite</t>
  </si>
  <si>
    <t xml:space="preserve">2</t>
  </si>
  <si>
    <t xml:space="preserve">Projets</t>
  </si>
  <si>
    <t xml:space="preserve">2.1</t>
  </si>
  <si>
    <t xml:space="preserve">Projet A - Festival dans les ecoles (2024)</t>
  </si>
  <si>
    <t xml:space="preserve">2.1.1</t>
  </si>
  <si>
    <t xml:space="preserve">Frais d'animation festival</t>
  </si>
  <si>
    <t xml:space="preserve">2.1.2</t>
  </si>
  <si>
    <t xml:space="preserve">Materiel pedagogique</t>
  </si>
  <si>
    <t xml:space="preserve">2.1.3</t>
  </si>
  <si>
    <t xml:space="preserve">Deplacements / missions</t>
  </si>
  <si>
    <t xml:space="preserve">2.1.4</t>
  </si>
  <si>
    <t xml:space="preserve">Communication</t>
  </si>
  <si>
    <t xml:space="preserve">2.2</t>
  </si>
  <si>
    <t xml:space="preserve">Projet B - Sensibilisation lyceens Cameroun/Congo/RCA (2025-2026)</t>
  </si>
  <si>
    <t xml:space="preserve">2.2.1</t>
  </si>
  <si>
    <t xml:space="preserve">Formateurs terrain</t>
  </si>
  <si>
    <t xml:space="preserve">2.2.2</t>
  </si>
  <si>
    <t xml:space="preserve">2.2.3</t>
  </si>
  <si>
    <t xml:space="preserve">2.2.4</t>
  </si>
  <si>
    <t xml:space="preserve">Location de salles</t>
  </si>
  <si>
    <t xml:space="preserve">2.2.5</t>
  </si>
  <si>
    <t xml:space="preserve">Suivi-evaluation</t>
  </si>
  <si>
    <t xml:space="preserve">2.3</t>
  </si>
  <si>
    <t xml:space="preserve">Projet C - MOOC protection des forets (2026)</t>
  </si>
  <si>
    <t xml:space="preserve">2.3.1</t>
  </si>
  <si>
    <t xml:space="preserve">Developpement plateforme MOOC</t>
  </si>
  <si>
    <t xml:space="preserve">2.3.2</t>
  </si>
  <si>
    <t xml:space="preserve">Production de contenus (video/cours)</t>
  </si>
  <si>
    <t xml:space="preserve">2.3.3</t>
  </si>
  <si>
    <t xml:space="preserve">Hebergement / technique</t>
  </si>
  <si>
    <t xml:space="preserve">2.3.4</t>
  </si>
  <si>
    <t xml:space="preserve">Communication / diffusion</t>
  </si>
  <si>
    <t xml:space="preserve">2.3.5</t>
  </si>
  <si>
    <t xml:space="preserve">Coordination pedagogique</t>
  </si>
  <si>
    <t xml:space="preserve">Budget previsionnel par projet et par bailleur</t>
  </si>
  <si>
    <t xml:space="preserve">Code ligne</t>
  </si>
  <si>
    <t xml:space="preserve">Libelle ligne budgetaire</t>
  </si>
  <si>
    <t xml:space="preserve">Projet</t>
  </si>
  <si>
    <t xml:space="preserve">Bailleur</t>
  </si>
  <si>
    <t xml:space="preserve">Montant (EUR)</t>
  </si>
  <si>
    <t xml:space="preserve">% ligne</t>
  </si>
  <si>
    <t xml:space="preserve">Projet A</t>
  </si>
  <si>
    <t xml:space="preserve">UE</t>
  </si>
  <si>
    <t xml:space="preserve">Projet B</t>
  </si>
  <si>
    <t xml:space="preserve">Fonds propres</t>
  </si>
  <si>
    <t xml:space="preserve">Projet C</t>
  </si>
  <si>
    <t xml:space="preserve">BAD</t>
  </si>
  <si>
    <t xml:space="preserve">TOTAL PAR PROJET</t>
  </si>
  <si>
    <t xml:space="preserve">TOTAL GENERAL</t>
  </si>
  <si>
    <t xml:space="preserve">Grand livre des depenses - juillet 2024 a juillet 2026</t>
  </si>
  <si>
    <t xml:space="preserve">Date</t>
  </si>
  <si>
    <t xml:space="preserve">N piece</t>
  </si>
  <si>
    <t xml:space="preserve">Commentaire</t>
  </si>
  <si>
    <t xml:space="preserve">15/03/2024</t>
  </si>
  <si>
    <t xml:space="preserve">PC0001</t>
  </si>
  <si>
    <t xml:space="preserve">Realisation festival ecoles 2024 - solde 100%</t>
  </si>
  <si>
    <t xml:space="preserve">20/04/2024</t>
  </si>
  <si>
    <t xml:space="preserve">PC0002</t>
  </si>
  <si>
    <t xml:space="preserve">10/06/2024</t>
  </si>
  <si>
    <t xml:space="preserve">PC0003</t>
  </si>
  <si>
    <t xml:space="preserve">05/09/2024</t>
  </si>
  <si>
    <t xml:space="preserve">PC0004</t>
  </si>
  <si>
    <t xml:space="preserve">31/12/2024</t>
  </si>
  <si>
    <t xml:space="preserve">PC0035</t>
  </si>
  <si>
    <t xml:space="preserve">Annee complete 2024</t>
  </si>
  <si>
    <t xml:space="preserve">PC0038</t>
  </si>
  <si>
    <t xml:space="preserve">PC0041</t>
  </si>
  <si>
    <t xml:space="preserve">30/06/2025</t>
  </si>
  <si>
    <t xml:space="preserve">PC0005</t>
  </si>
  <si>
    <t xml:space="preserve">Realisation 2025 - 90% alloc. annuelle (part UE)</t>
  </si>
  <si>
    <t xml:space="preserve">PC0006</t>
  </si>
  <si>
    <t xml:space="preserve">Realisation 2025 - 90% alloc. annuelle (part fonds propres)</t>
  </si>
  <si>
    <t xml:space="preserve">PC0009</t>
  </si>
  <si>
    <t xml:space="preserve">PC0010</t>
  </si>
  <si>
    <t xml:space="preserve">PC0013</t>
  </si>
  <si>
    <t xml:space="preserve">PC0014</t>
  </si>
  <si>
    <t xml:space="preserve">PC0017</t>
  </si>
  <si>
    <t xml:space="preserve">PC0018</t>
  </si>
  <si>
    <t xml:space="preserve">PC0021</t>
  </si>
  <si>
    <t xml:space="preserve">PC0022</t>
  </si>
  <si>
    <t xml:space="preserve">31/12/2025</t>
  </si>
  <si>
    <t xml:space="preserve">PC0036</t>
  </si>
  <si>
    <t xml:space="preserve">Annee complete 2025</t>
  </si>
  <si>
    <t xml:space="preserve">PC0039</t>
  </si>
  <si>
    <t xml:space="preserve">PC0042</t>
  </si>
  <si>
    <t xml:space="preserve">31/05/2026</t>
  </si>
  <si>
    <t xml:space="preserve">PC0007</t>
  </si>
  <si>
    <t xml:space="preserve">Realisation 2026 (a fin juillet) - 40% alloc. annuelle (part UE)</t>
  </si>
  <si>
    <t xml:space="preserve">PC0008</t>
  </si>
  <si>
    <t xml:space="preserve">Realisation 2026 (a fin juillet) - 40% alloc. annuelle (part fonds propres)</t>
  </si>
  <si>
    <t xml:space="preserve">PC0011</t>
  </si>
  <si>
    <t xml:space="preserve">PC0012</t>
  </si>
  <si>
    <t xml:space="preserve">PC0015</t>
  </si>
  <si>
    <t xml:space="preserve">PC0016</t>
  </si>
  <si>
    <t xml:space="preserve">PC0019</t>
  </si>
  <si>
    <t xml:space="preserve">PC0020</t>
  </si>
  <si>
    <t xml:space="preserve">PC0023</t>
  </si>
  <si>
    <t xml:space="preserve">PC0024</t>
  </si>
  <si>
    <t xml:space="preserve">15/06/2026</t>
  </si>
  <si>
    <t xml:space="preserve">PC0025</t>
  </si>
  <si>
    <t xml:space="preserve">Realisation 2026 (a fin juillet) - 60% du budget (part UE)</t>
  </si>
  <si>
    <t xml:space="preserve">PC0026</t>
  </si>
  <si>
    <t xml:space="preserve">Realisation 2026 (a fin juillet) - 60% du budget (part BAD)</t>
  </si>
  <si>
    <t xml:space="preserve">PC0027</t>
  </si>
  <si>
    <t xml:space="preserve">PC0028</t>
  </si>
  <si>
    <t xml:space="preserve">PC0029</t>
  </si>
  <si>
    <t xml:space="preserve">PC0030</t>
  </si>
  <si>
    <t xml:space="preserve">PC0031</t>
  </si>
  <si>
    <t xml:space="preserve">PC0032</t>
  </si>
  <si>
    <t xml:space="preserve">PC0033</t>
  </si>
  <si>
    <t xml:space="preserve">PC0034</t>
  </si>
  <si>
    <t xml:space="preserve">30/06/2026</t>
  </si>
  <si>
    <t xml:space="preserve">PC0037</t>
  </si>
  <si>
    <t xml:space="preserve">Janvier a juin 2026 (partiel)</t>
  </si>
  <si>
    <t xml:space="preserve">PC0040</t>
  </si>
  <si>
    <t xml:space="preserve">PC0043</t>
  </si>
  <si>
    <t xml:space="preserve">TOTAL GENERAL DEPENSES</t>
  </si>
  <si>
    <t xml:space="preserve">Synthese budget vs realise par projet et par bailleur (situation juillet 2026)</t>
  </si>
  <si>
    <t xml:space="preserve">Budget previsionnel (EUR)</t>
  </si>
  <si>
    <t xml:space="preserve">Depense a ce jour (EUR)</t>
  </si>
  <si>
    <t xml:space="preserve">% execution</t>
  </si>
  <si>
    <t xml:space="preserve">Reste a engager (EUR)</t>
  </si>
  <si>
    <t xml:space="preserve">Hypotheses : depenses simulees a des fins pedagogiques (donnees fictives). Projet A cloture a 100% en 2024. Projet B execute a 90% de l'allocation 2025 et 40% de l'allocation 2026 (partielle, arretee a juillet 2026). Projet C execute a 60% du budget total en 2026 (partielle, arretee a juillet 2026).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</si>
</sst>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8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n">
        <v>0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v>1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n">
        <v>2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n">
        <v>2</v>
      </c>
    </row>
    <row r="8" customFormat="false" ht="15" hidden="false" customHeight="false" outlineLevel="0" collapsed="false">
      <c r="A8" s="4" t="s">
        <v>12</v>
      </c>
      <c r="B8" s="4" t="s">
        <v>13</v>
      </c>
      <c r="C8" s="4" t="n">
        <v>2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n">
        <v>2</v>
      </c>
    </row>
    <row r="10" customFormat="false" ht="15" hidden="false" customHeight="false" outlineLevel="0" collapsed="false">
      <c r="A10" s="4" t="s">
        <v>16</v>
      </c>
      <c r="B10" s="4" t="s">
        <v>17</v>
      </c>
      <c r="C10" s="4" t="n">
        <v>2</v>
      </c>
    </row>
    <row r="11" customFormat="false" ht="15" hidden="false" customHeight="false" outlineLevel="0" collapsed="false">
      <c r="A11" s="4" t="s">
        <v>18</v>
      </c>
      <c r="B11" s="4" t="s">
        <v>19</v>
      </c>
      <c r="C11" s="4" t="n">
        <v>1</v>
      </c>
    </row>
    <row r="12" customFormat="false" ht="15" hidden="false" customHeight="false" outlineLevel="0" collapsed="false">
      <c r="A12" s="4" t="s">
        <v>20</v>
      </c>
      <c r="B12" s="4" t="s">
        <v>21</v>
      </c>
      <c r="C12" s="4" t="n">
        <v>2</v>
      </c>
    </row>
    <row r="13" customFormat="false" ht="15" hidden="false" customHeight="false" outlineLevel="0" collapsed="false">
      <c r="A13" s="4" t="s">
        <v>22</v>
      </c>
      <c r="B13" s="4" t="s">
        <v>23</v>
      </c>
      <c r="C13" s="4" t="n">
        <v>2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4" t="n">
        <v>1</v>
      </c>
    </row>
    <row r="15" customFormat="false" ht="15" hidden="false" customHeight="false" outlineLevel="0" collapsed="false">
      <c r="A15" s="4" t="s">
        <v>26</v>
      </c>
      <c r="B15" s="4" t="s">
        <v>27</v>
      </c>
      <c r="C15" s="4" t="n">
        <v>2</v>
      </c>
    </row>
    <row r="16" customFormat="false" ht="15" hidden="false" customHeight="false" outlineLevel="0" collapsed="false">
      <c r="A16" s="4" t="s">
        <v>28</v>
      </c>
      <c r="B16" s="4" t="s">
        <v>29</v>
      </c>
      <c r="C16" s="4" t="n">
        <v>2</v>
      </c>
    </row>
    <row r="17" customFormat="false" ht="15" hidden="false" customHeight="false" outlineLevel="0" collapsed="false">
      <c r="A17" s="3" t="s">
        <v>30</v>
      </c>
      <c r="B17" s="3" t="s">
        <v>31</v>
      </c>
      <c r="C17" s="3" t="n">
        <v>0</v>
      </c>
    </row>
    <row r="18" customFormat="false" ht="15" hidden="false" customHeight="false" outlineLevel="0" collapsed="false">
      <c r="A18" s="4" t="s">
        <v>32</v>
      </c>
      <c r="B18" s="4" t="s">
        <v>33</v>
      </c>
      <c r="C18" s="4" t="n">
        <v>1</v>
      </c>
    </row>
    <row r="19" customFormat="false" ht="15" hidden="false" customHeight="false" outlineLevel="0" collapsed="false">
      <c r="A19" s="4" t="s">
        <v>34</v>
      </c>
      <c r="B19" s="4" t="s">
        <v>35</v>
      </c>
      <c r="C19" s="4" t="n">
        <v>2</v>
      </c>
    </row>
    <row r="20" customFormat="false" ht="15" hidden="false" customHeight="false" outlineLevel="0" collapsed="false">
      <c r="A20" s="4" t="s">
        <v>36</v>
      </c>
      <c r="B20" s="4" t="s">
        <v>37</v>
      </c>
      <c r="C20" s="4" t="n">
        <v>2</v>
      </c>
    </row>
    <row r="21" customFormat="false" ht="15" hidden="false" customHeight="false" outlineLevel="0" collapsed="false">
      <c r="A21" s="4" t="s">
        <v>38</v>
      </c>
      <c r="B21" s="4" t="s">
        <v>39</v>
      </c>
      <c r="C21" s="4" t="n">
        <v>2</v>
      </c>
    </row>
    <row r="22" customFormat="false" ht="15" hidden="false" customHeight="false" outlineLevel="0" collapsed="false">
      <c r="A22" s="4" t="s">
        <v>40</v>
      </c>
      <c r="B22" s="4" t="s">
        <v>41</v>
      </c>
      <c r="C22" s="4" t="n">
        <v>2</v>
      </c>
    </row>
    <row r="23" customFormat="false" ht="15" hidden="false" customHeight="false" outlineLevel="0" collapsed="false">
      <c r="A23" s="4" t="s">
        <v>42</v>
      </c>
      <c r="B23" s="4" t="s">
        <v>43</v>
      </c>
      <c r="C23" s="4" t="n">
        <v>1</v>
      </c>
    </row>
    <row r="24" customFormat="false" ht="15" hidden="false" customHeight="false" outlineLevel="0" collapsed="false">
      <c r="A24" s="4" t="s">
        <v>44</v>
      </c>
      <c r="B24" s="4" t="s">
        <v>45</v>
      </c>
      <c r="C24" s="4" t="n">
        <v>2</v>
      </c>
    </row>
    <row r="25" customFormat="false" ht="15" hidden="false" customHeight="false" outlineLevel="0" collapsed="false">
      <c r="A25" s="4" t="s">
        <v>46</v>
      </c>
      <c r="B25" s="4" t="s">
        <v>39</v>
      </c>
      <c r="C25" s="4" t="n">
        <v>2</v>
      </c>
    </row>
    <row r="26" customFormat="false" ht="15" hidden="false" customHeight="false" outlineLevel="0" collapsed="false">
      <c r="A26" s="4" t="s">
        <v>47</v>
      </c>
      <c r="B26" s="4" t="s">
        <v>37</v>
      </c>
      <c r="C26" s="4" t="n">
        <v>2</v>
      </c>
    </row>
    <row r="27" customFormat="false" ht="15" hidden="false" customHeight="false" outlineLevel="0" collapsed="false">
      <c r="A27" s="4" t="s">
        <v>48</v>
      </c>
      <c r="B27" s="4" t="s">
        <v>49</v>
      </c>
      <c r="C27" s="4" t="n">
        <v>2</v>
      </c>
    </row>
    <row r="28" customFormat="false" ht="15" hidden="false" customHeight="false" outlineLevel="0" collapsed="false">
      <c r="A28" s="4" t="s">
        <v>50</v>
      </c>
      <c r="B28" s="4" t="s">
        <v>51</v>
      </c>
      <c r="C28" s="4" t="n">
        <v>2</v>
      </c>
    </row>
    <row r="29" customFormat="false" ht="15" hidden="false" customHeight="false" outlineLevel="0" collapsed="false">
      <c r="A29" s="4" t="s">
        <v>52</v>
      </c>
      <c r="B29" s="4" t="s">
        <v>53</v>
      </c>
      <c r="C29" s="4" t="n">
        <v>1</v>
      </c>
    </row>
    <row r="30" customFormat="false" ht="15" hidden="false" customHeight="false" outlineLevel="0" collapsed="false">
      <c r="A30" s="4" t="s">
        <v>54</v>
      </c>
      <c r="B30" s="4" t="s">
        <v>55</v>
      </c>
      <c r="C30" s="4" t="n">
        <v>2</v>
      </c>
    </row>
    <row r="31" customFormat="false" ht="15" hidden="false" customHeight="false" outlineLevel="0" collapsed="false">
      <c r="A31" s="4" t="s">
        <v>56</v>
      </c>
      <c r="B31" s="4" t="s">
        <v>57</v>
      </c>
      <c r="C31" s="4" t="n">
        <v>2</v>
      </c>
    </row>
    <row r="32" customFormat="false" ht="15" hidden="false" customHeight="false" outlineLevel="0" collapsed="false">
      <c r="A32" s="4" t="s">
        <v>58</v>
      </c>
      <c r="B32" s="4" t="s">
        <v>59</v>
      </c>
      <c r="C32" s="4" t="n">
        <v>2</v>
      </c>
    </row>
    <row r="33" customFormat="false" ht="15" hidden="false" customHeight="false" outlineLevel="0" collapsed="false">
      <c r="A33" s="4" t="s">
        <v>60</v>
      </c>
      <c r="B33" s="4" t="s">
        <v>61</v>
      </c>
      <c r="C33" s="4" t="n">
        <v>2</v>
      </c>
    </row>
    <row r="34" customFormat="false" ht="15" hidden="false" customHeight="false" outlineLevel="0" collapsed="false">
      <c r="A34" s="4" t="s">
        <v>62</v>
      </c>
      <c r="B34" s="4" t="s">
        <v>63</v>
      </c>
      <c r="C34" s="4" t="n">
        <v>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64</v>
      </c>
      <c r="B1" s="1"/>
      <c r="C1" s="1"/>
      <c r="D1" s="1"/>
      <c r="E1" s="1"/>
      <c r="F1" s="1"/>
    </row>
    <row r="3" customFormat="false" ht="25.3" hidden="false" customHeight="fals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71</v>
      </c>
      <c r="D4" s="4" t="s">
        <v>72</v>
      </c>
      <c r="E4" s="5" t="n">
        <v>8000</v>
      </c>
      <c r="F4" s="6" t="n">
        <f aca="false">E4/SUMIFS($E$4:$E$27,$C$4:$C$27,C4)</f>
        <v>0.4</v>
      </c>
    </row>
    <row r="5" customFormat="false" ht="15" hidden="false" customHeight="false" outlineLevel="0" collapsed="false">
      <c r="A5" s="4" t="s">
        <v>36</v>
      </c>
      <c r="B5" s="4" t="s">
        <v>37</v>
      </c>
      <c r="C5" s="4" t="s">
        <v>71</v>
      </c>
      <c r="D5" s="4" t="s">
        <v>72</v>
      </c>
      <c r="E5" s="5" t="n">
        <v>5000</v>
      </c>
      <c r="F5" s="6" t="n">
        <f aca="false">E5/SUMIFS($E$4:$E$27,$C$4:$C$27,C5)</f>
        <v>0.25</v>
      </c>
    </row>
    <row r="6" customFormat="false" ht="15" hidden="false" customHeight="false" outlineLevel="0" collapsed="false">
      <c r="A6" s="4" t="s">
        <v>38</v>
      </c>
      <c r="B6" s="4" t="s">
        <v>39</v>
      </c>
      <c r="C6" s="4" t="s">
        <v>71</v>
      </c>
      <c r="D6" s="4" t="s">
        <v>72</v>
      </c>
      <c r="E6" s="5" t="n">
        <v>4000</v>
      </c>
      <c r="F6" s="6" t="n">
        <f aca="false">E6/SUMIFS($E$4:$E$27,$C$4:$C$27,C6)</f>
        <v>0.2</v>
      </c>
    </row>
    <row r="7" customFormat="false" ht="15" hidden="false" customHeight="false" outlineLevel="0" collapsed="false">
      <c r="A7" s="4" t="s">
        <v>40</v>
      </c>
      <c r="B7" s="4" t="s">
        <v>41</v>
      </c>
      <c r="C7" s="4" t="s">
        <v>71</v>
      </c>
      <c r="D7" s="4" t="s">
        <v>72</v>
      </c>
      <c r="E7" s="5" t="n">
        <v>3000</v>
      </c>
      <c r="F7" s="6" t="n">
        <f aca="false">E7/SUMIFS($E$4:$E$27,$C$4:$C$27,C7)</f>
        <v>0.15</v>
      </c>
    </row>
    <row r="8" customFormat="false" ht="15" hidden="false" customHeight="false" outlineLevel="0" collapsed="false">
      <c r="A8" s="4" t="s">
        <v>44</v>
      </c>
      <c r="B8" s="4" t="s">
        <v>45</v>
      </c>
      <c r="C8" s="4" t="s">
        <v>73</v>
      </c>
      <c r="D8" s="4" t="s">
        <v>72</v>
      </c>
      <c r="E8" s="5" t="n">
        <v>9000</v>
      </c>
      <c r="F8" s="6" t="n">
        <f aca="false">E8/SUMIFS($E$4:$E$27,$C$4:$C$27,C8)</f>
        <v>0.18</v>
      </c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73</v>
      </c>
      <c r="D9" s="4" t="s">
        <v>74</v>
      </c>
      <c r="E9" s="5" t="n">
        <v>9000</v>
      </c>
      <c r="F9" s="6" t="n">
        <f aca="false">E9/SUMIFS($E$4:$E$27,$C$4:$C$27,C9)</f>
        <v>0.18</v>
      </c>
    </row>
    <row r="10" customFormat="false" ht="15" hidden="false" customHeight="false" outlineLevel="0" collapsed="false">
      <c r="A10" s="4" t="s">
        <v>46</v>
      </c>
      <c r="B10" s="4" t="s">
        <v>39</v>
      </c>
      <c r="C10" s="4" t="s">
        <v>73</v>
      </c>
      <c r="D10" s="4" t="s">
        <v>72</v>
      </c>
      <c r="E10" s="5" t="n">
        <v>6000</v>
      </c>
      <c r="F10" s="6" t="n">
        <f aca="false">E10/SUMIFS($E$4:$E$27,$C$4:$C$27,C10)</f>
        <v>0.12</v>
      </c>
    </row>
    <row r="11" customFormat="false" ht="15" hidden="false" customHeight="false" outlineLevel="0" collapsed="false">
      <c r="A11" s="4" t="s">
        <v>46</v>
      </c>
      <c r="B11" s="4" t="s">
        <v>39</v>
      </c>
      <c r="C11" s="4" t="s">
        <v>73</v>
      </c>
      <c r="D11" s="4" t="s">
        <v>74</v>
      </c>
      <c r="E11" s="5" t="n">
        <v>6000</v>
      </c>
      <c r="F11" s="6" t="n">
        <f aca="false">E11/SUMIFS($E$4:$E$27,$C$4:$C$27,C11)</f>
        <v>0.12</v>
      </c>
    </row>
    <row r="12" customFormat="false" ht="15" hidden="false" customHeight="false" outlineLevel="0" collapsed="false">
      <c r="A12" s="4" t="s">
        <v>47</v>
      </c>
      <c r="B12" s="4" t="s">
        <v>37</v>
      </c>
      <c r="C12" s="4" t="s">
        <v>73</v>
      </c>
      <c r="D12" s="4" t="s">
        <v>72</v>
      </c>
      <c r="E12" s="5" t="n">
        <v>4000</v>
      </c>
      <c r="F12" s="6" t="n">
        <f aca="false">E12/SUMIFS($E$4:$E$27,$C$4:$C$27,C12)</f>
        <v>0.08</v>
      </c>
    </row>
    <row r="13" customFormat="false" ht="15" hidden="false" customHeight="false" outlineLevel="0" collapsed="false">
      <c r="A13" s="4" t="s">
        <v>47</v>
      </c>
      <c r="B13" s="4" t="s">
        <v>37</v>
      </c>
      <c r="C13" s="4" t="s">
        <v>73</v>
      </c>
      <c r="D13" s="4" t="s">
        <v>74</v>
      </c>
      <c r="E13" s="5" t="n">
        <v>4000</v>
      </c>
      <c r="F13" s="6" t="n">
        <f aca="false">E13/SUMIFS($E$4:$E$27,$C$4:$C$27,C13)</f>
        <v>0.08</v>
      </c>
    </row>
    <row r="14" customFormat="false" ht="15" hidden="false" customHeight="false" outlineLevel="0" collapsed="false">
      <c r="A14" s="4" t="s">
        <v>48</v>
      </c>
      <c r="B14" s="4" t="s">
        <v>49</v>
      </c>
      <c r="C14" s="4" t="s">
        <v>73</v>
      </c>
      <c r="D14" s="4" t="s">
        <v>72</v>
      </c>
      <c r="E14" s="5" t="n">
        <v>3500</v>
      </c>
      <c r="F14" s="6" t="n">
        <f aca="false">E14/SUMIFS($E$4:$E$27,$C$4:$C$27,C14)</f>
        <v>0.07</v>
      </c>
    </row>
    <row r="15" customFormat="false" ht="15" hidden="false" customHeight="false" outlineLevel="0" collapsed="false">
      <c r="A15" s="4" t="s">
        <v>48</v>
      </c>
      <c r="B15" s="4" t="s">
        <v>49</v>
      </c>
      <c r="C15" s="4" t="s">
        <v>73</v>
      </c>
      <c r="D15" s="4" t="s">
        <v>74</v>
      </c>
      <c r="E15" s="5" t="n">
        <v>3500</v>
      </c>
      <c r="F15" s="6" t="n">
        <f aca="false">E15/SUMIFS($E$4:$E$27,$C$4:$C$27,C15)</f>
        <v>0.07</v>
      </c>
    </row>
    <row r="16" customFormat="false" ht="15" hidden="false" customHeight="false" outlineLevel="0" collapsed="false">
      <c r="A16" s="4" t="s">
        <v>50</v>
      </c>
      <c r="B16" s="4" t="s">
        <v>51</v>
      </c>
      <c r="C16" s="4" t="s">
        <v>73</v>
      </c>
      <c r="D16" s="4" t="s">
        <v>72</v>
      </c>
      <c r="E16" s="5" t="n">
        <v>2500</v>
      </c>
      <c r="F16" s="6" t="n">
        <f aca="false">E16/SUMIFS($E$4:$E$27,$C$4:$C$27,C16)</f>
        <v>0.05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4" t="s">
        <v>73</v>
      </c>
      <c r="D17" s="4" t="s">
        <v>74</v>
      </c>
      <c r="E17" s="5" t="n">
        <v>2500</v>
      </c>
      <c r="F17" s="6" t="n">
        <f aca="false">E17/SUMIFS($E$4:$E$27,$C$4:$C$27,C17)</f>
        <v>0.05</v>
      </c>
    </row>
    <row r="18" customFormat="false" ht="15" hidden="false" customHeight="false" outlineLevel="0" collapsed="false">
      <c r="A18" s="4" t="s">
        <v>54</v>
      </c>
      <c r="B18" s="4" t="s">
        <v>55</v>
      </c>
      <c r="C18" s="4" t="s">
        <v>75</v>
      </c>
      <c r="D18" s="4" t="s">
        <v>72</v>
      </c>
      <c r="E18" s="5" t="n">
        <v>20000</v>
      </c>
      <c r="F18" s="6" t="n">
        <f aca="false">E18/SUMIFS($E$4:$E$27,$C$4:$C$27,C18)</f>
        <v>0.166666666666667</v>
      </c>
    </row>
    <row r="19" customFormat="false" ht="15" hidden="false" customHeight="false" outlineLevel="0" collapsed="false">
      <c r="A19" s="4" t="s">
        <v>54</v>
      </c>
      <c r="B19" s="4" t="s">
        <v>55</v>
      </c>
      <c r="C19" s="4" t="s">
        <v>75</v>
      </c>
      <c r="D19" s="4" t="s">
        <v>76</v>
      </c>
      <c r="E19" s="5" t="n">
        <v>20000</v>
      </c>
      <c r="F19" s="6" t="n">
        <f aca="false">E19/SUMIFS($E$4:$E$27,$C$4:$C$27,C19)</f>
        <v>0.166666666666667</v>
      </c>
    </row>
    <row r="20" customFormat="false" ht="15" hidden="false" customHeight="false" outlineLevel="0" collapsed="false">
      <c r="A20" s="4" t="s">
        <v>56</v>
      </c>
      <c r="B20" s="4" t="s">
        <v>57</v>
      </c>
      <c r="C20" s="4" t="s">
        <v>75</v>
      </c>
      <c r="D20" s="4" t="s">
        <v>72</v>
      </c>
      <c r="E20" s="5" t="n">
        <v>22500</v>
      </c>
      <c r="F20" s="6" t="n">
        <f aca="false">E20/SUMIFS($E$4:$E$27,$C$4:$C$27,C20)</f>
        <v>0.1875</v>
      </c>
    </row>
    <row r="21" customFormat="false" ht="15" hidden="false" customHeight="false" outlineLevel="0" collapsed="false">
      <c r="A21" s="4" t="s">
        <v>56</v>
      </c>
      <c r="B21" s="4" t="s">
        <v>57</v>
      </c>
      <c r="C21" s="4" t="s">
        <v>75</v>
      </c>
      <c r="D21" s="4" t="s">
        <v>76</v>
      </c>
      <c r="E21" s="5" t="n">
        <v>22500</v>
      </c>
      <c r="F21" s="6" t="n">
        <f aca="false">E21/SUMIFS($E$4:$E$27,$C$4:$C$27,C21)</f>
        <v>0.1875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75</v>
      </c>
      <c r="D22" s="4" t="s">
        <v>72</v>
      </c>
      <c r="E22" s="5" t="n">
        <v>5000</v>
      </c>
      <c r="F22" s="6" t="n">
        <f aca="false">E22/SUMIFS($E$4:$E$27,$C$4:$C$27,C22)</f>
        <v>0.0416666666666667</v>
      </c>
    </row>
    <row r="23" customFormat="false" ht="15" hidden="false" customHeight="false" outlineLevel="0" collapsed="false">
      <c r="A23" s="4" t="s">
        <v>58</v>
      </c>
      <c r="B23" s="4" t="s">
        <v>59</v>
      </c>
      <c r="C23" s="4" t="s">
        <v>75</v>
      </c>
      <c r="D23" s="4" t="s">
        <v>76</v>
      </c>
      <c r="E23" s="5" t="n">
        <v>5000</v>
      </c>
      <c r="F23" s="6" t="n">
        <f aca="false">E23/SUMIFS($E$4:$E$27,$C$4:$C$27,C23)</f>
        <v>0.0416666666666667</v>
      </c>
    </row>
    <row r="24" customFormat="false" ht="15" hidden="false" customHeight="false" outlineLevel="0" collapsed="false">
      <c r="A24" s="4" t="s">
        <v>60</v>
      </c>
      <c r="B24" s="4" t="s">
        <v>61</v>
      </c>
      <c r="C24" s="4" t="s">
        <v>75</v>
      </c>
      <c r="D24" s="4" t="s">
        <v>72</v>
      </c>
      <c r="E24" s="5" t="n">
        <v>7500</v>
      </c>
      <c r="F24" s="6" t="n">
        <f aca="false">E24/SUMIFS($E$4:$E$27,$C$4:$C$27,C24)</f>
        <v>0.0625</v>
      </c>
    </row>
    <row r="25" customFormat="false" ht="15" hidden="false" customHeight="false" outlineLevel="0" collapsed="false">
      <c r="A25" s="4" t="s">
        <v>60</v>
      </c>
      <c r="B25" s="4" t="s">
        <v>61</v>
      </c>
      <c r="C25" s="4" t="s">
        <v>75</v>
      </c>
      <c r="D25" s="4" t="s">
        <v>76</v>
      </c>
      <c r="E25" s="5" t="n">
        <v>7500</v>
      </c>
      <c r="F25" s="6" t="n">
        <f aca="false">E25/SUMIFS($E$4:$E$27,$C$4:$C$27,C25)</f>
        <v>0.0625</v>
      </c>
    </row>
    <row r="26" customFormat="false" ht="15" hidden="false" customHeight="false" outlineLevel="0" collapsed="false">
      <c r="A26" s="4" t="s">
        <v>62</v>
      </c>
      <c r="B26" s="4" t="s">
        <v>63</v>
      </c>
      <c r="C26" s="4" t="s">
        <v>75</v>
      </c>
      <c r="D26" s="4" t="s">
        <v>72</v>
      </c>
      <c r="E26" s="5" t="n">
        <v>5000</v>
      </c>
      <c r="F26" s="6" t="n">
        <f aca="false">E26/SUMIFS($E$4:$E$27,$C$4:$C$27,C26)</f>
        <v>0.0416666666666667</v>
      </c>
    </row>
    <row r="27" customFormat="false" ht="15" hidden="false" customHeight="false" outlineLevel="0" collapsed="false">
      <c r="A27" s="4" t="s">
        <v>62</v>
      </c>
      <c r="B27" s="4" t="s">
        <v>63</v>
      </c>
      <c r="C27" s="4" t="s">
        <v>75</v>
      </c>
      <c r="D27" s="4" t="s">
        <v>76</v>
      </c>
      <c r="E27" s="5" t="n">
        <v>5000</v>
      </c>
      <c r="F27" s="6" t="n">
        <f aca="false">E27/SUMIFS($E$4:$E$27,$C$4:$C$27,C27)</f>
        <v>0.0416666666666667</v>
      </c>
    </row>
    <row r="29" customFormat="false" ht="15" hidden="false" customHeight="false" outlineLevel="0" collapsed="false">
      <c r="B29" s="7" t="s">
        <v>77</v>
      </c>
    </row>
    <row r="30" customFormat="false" ht="15" hidden="false" customHeight="false" outlineLevel="0" collapsed="false">
      <c r="A30" s="8"/>
      <c r="B30" s="8"/>
      <c r="C30" s="9" t="s">
        <v>71</v>
      </c>
      <c r="D30" s="8"/>
      <c r="E30" s="10" t="n">
        <f aca="false">SUMIFS($E$4:$E$27,$C$4:$C$27,C30)</f>
        <v>20000</v>
      </c>
      <c r="F30" s="8"/>
    </row>
    <row r="31" customFormat="false" ht="15" hidden="false" customHeight="false" outlineLevel="0" collapsed="false">
      <c r="A31" s="8"/>
      <c r="B31" s="8"/>
      <c r="C31" s="9" t="s">
        <v>73</v>
      </c>
      <c r="D31" s="8"/>
      <c r="E31" s="10" t="n">
        <f aca="false">SUMIFS($E$4:$E$27,$C$4:$C$27,C31)</f>
        <v>50000</v>
      </c>
      <c r="F31" s="8"/>
    </row>
    <row r="32" customFormat="false" ht="15" hidden="false" customHeight="false" outlineLevel="0" collapsed="false">
      <c r="A32" s="8"/>
      <c r="B32" s="8"/>
      <c r="C32" s="9" t="s">
        <v>75</v>
      </c>
      <c r="D32" s="8"/>
      <c r="E32" s="10" t="n">
        <f aca="false">SUMIFS($E$4:$E$27,$C$4:$C$27,C32)</f>
        <v>120000</v>
      </c>
      <c r="F32" s="8"/>
    </row>
    <row r="34" customFormat="false" ht="15" hidden="false" customHeight="false" outlineLevel="0" collapsed="false">
      <c r="A34" s="8"/>
      <c r="B34" s="9" t="s">
        <v>78</v>
      </c>
      <c r="C34" s="8"/>
      <c r="D34" s="8"/>
      <c r="E34" s="10" t="n">
        <f aca="false">SUM(E30,E31,E32)</f>
        <v>190000</v>
      </c>
      <c r="F34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7" min="6" style="0" width="16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3" customFormat="false" ht="25.3" hidden="false" customHeight="false" outlineLevel="0" collapsed="false">
      <c r="A3" s="2" t="s">
        <v>80</v>
      </c>
      <c r="B3" s="2" t="s">
        <v>81</v>
      </c>
      <c r="C3" s="2" t="s">
        <v>67</v>
      </c>
      <c r="D3" s="2" t="s">
        <v>65</v>
      </c>
      <c r="E3" s="2" t="s">
        <v>66</v>
      </c>
      <c r="F3" s="2" t="s">
        <v>68</v>
      </c>
      <c r="G3" s="2" t="s">
        <v>69</v>
      </c>
      <c r="H3" s="2" t="s">
        <v>82</v>
      </c>
    </row>
    <row r="4" customFormat="false" ht="15" hidden="false" customHeight="false" outlineLevel="0" collapsed="false">
      <c r="A4" s="4" t="s">
        <v>83</v>
      </c>
      <c r="B4" s="4" t="s">
        <v>84</v>
      </c>
      <c r="C4" s="4" t="s">
        <v>71</v>
      </c>
      <c r="D4" s="4" t="s">
        <v>34</v>
      </c>
      <c r="E4" s="4" t="s">
        <v>35</v>
      </c>
      <c r="F4" s="4" t="s">
        <v>72</v>
      </c>
      <c r="G4" s="5" t="n">
        <v>8000</v>
      </c>
      <c r="H4" s="4" t="s">
        <v>85</v>
      </c>
    </row>
    <row r="5" customFormat="false" ht="15" hidden="false" customHeight="false" outlineLevel="0" collapsed="false">
      <c r="A5" s="4" t="s">
        <v>86</v>
      </c>
      <c r="B5" s="4" t="s">
        <v>87</v>
      </c>
      <c r="C5" s="4" t="s">
        <v>71</v>
      </c>
      <c r="D5" s="4" t="s">
        <v>36</v>
      </c>
      <c r="E5" s="4" t="s">
        <v>37</v>
      </c>
      <c r="F5" s="4" t="s">
        <v>72</v>
      </c>
      <c r="G5" s="5" t="n">
        <v>5000</v>
      </c>
      <c r="H5" s="4" t="s">
        <v>85</v>
      </c>
    </row>
    <row r="6" customFormat="false" ht="15" hidden="false" customHeight="false" outlineLevel="0" collapsed="false">
      <c r="A6" s="4" t="s">
        <v>88</v>
      </c>
      <c r="B6" s="4" t="s">
        <v>89</v>
      </c>
      <c r="C6" s="4" t="s">
        <v>71</v>
      </c>
      <c r="D6" s="4" t="s">
        <v>38</v>
      </c>
      <c r="E6" s="4" t="s">
        <v>39</v>
      </c>
      <c r="F6" s="4" t="s">
        <v>72</v>
      </c>
      <c r="G6" s="5" t="n">
        <v>4000</v>
      </c>
      <c r="H6" s="4" t="s">
        <v>85</v>
      </c>
    </row>
    <row r="7" customFormat="false" ht="15" hidden="false" customHeight="false" outlineLevel="0" collapsed="false">
      <c r="A7" s="4" t="s">
        <v>90</v>
      </c>
      <c r="B7" s="4" t="s">
        <v>91</v>
      </c>
      <c r="C7" s="4" t="s">
        <v>71</v>
      </c>
      <c r="D7" s="4" t="s">
        <v>40</v>
      </c>
      <c r="E7" s="4" t="s">
        <v>41</v>
      </c>
      <c r="F7" s="4" t="s">
        <v>72</v>
      </c>
      <c r="G7" s="5" t="n">
        <v>3000</v>
      </c>
      <c r="H7" s="4" t="s">
        <v>85</v>
      </c>
    </row>
    <row r="8" customFormat="false" ht="15" hidden="false" customHeight="false" outlineLevel="0" collapsed="false">
      <c r="A8" s="4" t="s">
        <v>92</v>
      </c>
      <c r="B8" s="4" t="s">
        <v>93</v>
      </c>
      <c r="C8" s="4" t="s">
        <v>5</v>
      </c>
      <c r="D8" s="4" t="s">
        <v>6</v>
      </c>
      <c r="E8" s="4" t="s">
        <v>7</v>
      </c>
      <c r="F8" s="4" t="s">
        <v>74</v>
      </c>
      <c r="G8" s="5" t="n">
        <v>56800</v>
      </c>
      <c r="H8" s="4" t="s">
        <v>94</v>
      </c>
    </row>
    <row r="9" customFormat="false" ht="15" hidden="false" customHeight="false" outlineLevel="0" collapsed="false">
      <c r="A9" s="4" t="s">
        <v>92</v>
      </c>
      <c r="B9" s="4" t="s">
        <v>95</v>
      </c>
      <c r="C9" s="4" t="s">
        <v>5</v>
      </c>
      <c r="D9" s="4" t="s">
        <v>18</v>
      </c>
      <c r="E9" s="4" t="s">
        <v>19</v>
      </c>
      <c r="F9" s="4" t="s">
        <v>74</v>
      </c>
      <c r="G9" s="5" t="n">
        <v>6000</v>
      </c>
      <c r="H9" s="4" t="s">
        <v>94</v>
      </c>
    </row>
    <row r="10" customFormat="false" ht="15" hidden="false" customHeight="false" outlineLevel="0" collapsed="false">
      <c r="A10" s="4" t="s">
        <v>92</v>
      </c>
      <c r="B10" s="4" t="s">
        <v>96</v>
      </c>
      <c r="C10" s="4" t="s">
        <v>5</v>
      </c>
      <c r="D10" s="4" t="s">
        <v>24</v>
      </c>
      <c r="E10" s="4" t="s">
        <v>25</v>
      </c>
      <c r="F10" s="4" t="s">
        <v>74</v>
      </c>
      <c r="G10" s="5" t="n">
        <v>2800</v>
      </c>
      <c r="H10" s="4" t="s">
        <v>94</v>
      </c>
    </row>
    <row r="11" customFormat="false" ht="15" hidden="false" customHeight="false" outlineLevel="0" collapsed="false">
      <c r="A11" s="4" t="s">
        <v>97</v>
      </c>
      <c r="B11" s="4" t="s">
        <v>98</v>
      </c>
      <c r="C11" s="4" t="s">
        <v>73</v>
      </c>
      <c r="D11" s="4" t="s">
        <v>44</v>
      </c>
      <c r="E11" s="4" t="s">
        <v>45</v>
      </c>
      <c r="F11" s="4" t="s">
        <v>72</v>
      </c>
      <c r="G11" s="5" t="n">
        <v>4050</v>
      </c>
      <c r="H11" s="4" t="s">
        <v>99</v>
      </c>
    </row>
    <row r="12" customFormat="false" ht="15" hidden="false" customHeight="false" outlineLevel="0" collapsed="false">
      <c r="A12" s="4" t="s">
        <v>97</v>
      </c>
      <c r="B12" s="4" t="s">
        <v>100</v>
      </c>
      <c r="C12" s="4" t="s">
        <v>73</v>
      </c>
      <c r="D12" s="4" t="s">
        <v>44</v>
      </c>
      <c r="E12" s="4" t="s">
        <v>45</v>
      </c>
      <c r="F12" s="4" t="s">
        <v>74</v>
      </c>
      <c r="G12" s="5" t="n">
        <v>4050</v>
      </c>
      <c r="H12" s="4" t="s">
        <v>101</v>
      </c>
    </row>
    <row r="13" customFormat="false" ht="15" hidden="false" customHeight="false" outlineLevel="0" collapsed="false">
      <c r="A13" s="4" t="s">
        <v>97</v>
      </c>
      <c r="B13" s="4" t="s">
        <v>102</v>
      </c>
      <c r="C13" s="4" t="s">
        <v>73</v>
      </c>
      <c r="D13" s="4" t="s">
        <v>46</v>
      </c>
      <c r="E13" s="4" t="s">
        <v>39</v>
      </c>
      <c r="F13" s="4" t="s">
        <v>72</v>
      </c>
      <c r="G13" s="5" t="n">
        <v>2700</v>
      </c>
      <c r="H13" s="4" t="s">
        <v>99</v>
      </c>
    </row>
    <row r="14" customFormat="false" ht="15" hidden="false" customHeight="false" outlineLevel="0" collapsed="false">
      <c r="A14" s="4" t="s">
        <v>97</v>
      </c>
      <c r="B14" s="4" t="s">
        <v>103</v>
      </c>
      <c r="C14" s="4" t="s">
        <v>73</v>
      </c>
      <c r="D14" s="4" t="s">
        <v>46</v>
      </c>
      <c r="E14" s="4" t="s">
        <v>39</v>
      </c>
      <c r="F14" s="4" t="s">
        <v>74</v>
      </c>
      <c r="G14" s="5" t="n">
        <v>2700</v>
      </c>
      <c r="H14" s="4" t="s">
        <v>101</v>
      </c>
    </row>
    <row r="15" customFormat="false" ht="15" hidden="false" customHeight="false" outlineLevel="0" collapsed="false">
      <c r="A15" s="4" t="s">
        <v>97</v>
      </c>
      <c r="B15" s="4" t="s">
        <v>104</v>
      </c>
      <c r="C15" s="4" t="s">
        <v>73</v>
      </c>
      <c r="D15" s="4" t="s">
        <v>47</v>
      </c>
      <c r="E15" s="4" t="s">
        <v>37</v>
      </c>
      <c r="F15" s="4" t="s">
        <v>72</v>
      </c>
      <c r="G15" s="5" t="n">
        <v>1800</v>
      </c>
      <c r="H15" s="4" t="s">
        <v>99</v>
      </c>
    </row>
    <row r="16" customFormat="false" ht="15" hidden="false" customHeight="false" outlineLevel="0" collapsed="false">
      <c r="A16" s="4" t="s">
        <v>97</v>
      </c>
      <c r="B16" s="4" t="s">
        <v>105</v>
      </c>
      <c r="C16" s="4" t="s">
        <v>73</v>
      </c>
      <c r="D16" s="4" t="s">
        <v>47</v>
      </c>
      <c r="E16" s="4" t="s">
        <v>37</v>
      </c>
      <c r="F16" s="4" t="s">
        <v>74</v>
      </c>
      <c r="G16" s="5" t="n">
        <v>1800</v>
      </c>
      <c r="H16" s="4" t="s">
        <v>101</v>
      </c>
    </row>
    <row r="17" customFormat="false" ht="15" hidden="false" customHeight="false" outlineLevel="0" collapsed="false">
      <c r="A17" s="4" t="s">
        <v>97</v>
      </c>
      <c r="B17" s="4" t="s">
        <v>106</v>
      </c>
      <c r="C17" s="4" t="s">
        <v>73</v>
      </c>
      <c r="D17" s="4" t="s">
        <v>48</v>
      </c>
      <c r="E17" s="4" t="s">
        <v>49</v>
      </c>
      <c r="F17" s="4" t="s">
        <v>72</v>
      </c>
      <c r="G17" s="5" t="n">
        <v>1575</v>
      </c>
      <c r="H17" s="4" t="s">
        <v>99</v>
      </c>
    </row>
    <row r="18" customFormat="false" ht="15" hidden="false" customHeight="false" outlineLevel="0" collapsed="false">
      <c r="A18" s="4" t="s">
        <v>97</v>
      </c>
      <c r="B18" s="4" t="s">
        <v>107</v>
      </c>
      <c r="C18" s="4" t="s">
        <v>73</v>
      </c>
      <c r="D18" s="4" t="s">
        <v>48</v>
      </c>
      <c r="E18" s="4" t="s">
        <v>49</v>
      </c>
      <c r="F18" s="4" t="s">
        <v>74</v>
      </c>
      <c r="G18" s="5" t="n">
        <v>1575</v>
      </c>
      <c r="H18" s="4" t="s">
        <v>101</v>
      </c>
    </row>
    <row r="19" customFormat="false" ht="15" hidden="false" customHeight="false" outlineLevel="0" collapsed="false">
      <c r="A19" s="4" t="s">
        <v>97</v>
      </c>
      <c r="B19" s="4" t="s">
        <v>108</v>
      </c>
      <c r="C19" s="4" t="s">
        <v>73</v>
      </c>
      <c r="D19" s="4" t="s">
        <v>50</v>
      </c>
      <c r="E19" s="4" t="s">
        <v>51</v>
      </c>
      <c r="F19" s="4" t="s">
        <v>72</v>
      </c>
      <c r="G19" s="5" t="n">
        <v>1125</v>
      </c>
      <c r="H19" s="4" t="s">
        <v>99</v>
      </c>
    </row>
    <row r="20" customFormat="false" ht="15" hidden="false" customHeight="false" outlineLevel="0" collapsed="false">
      <c r="A20" s="4" t="s">
        <v>97</v>
      </c>
      <c r="B20" s="4" t="s">
        <v>109</v>
      </c>
      <c r="C20" s="4" t="s">
        <v>73</v>
      </c>
      <c r="D20" s="4" t="s">
        <v>50</v>
      </c>
      <c r="E20" s="4" t="s">
        <v>51</v>
      </c>
      <c r="F20" s="4" t="s">
        <v>74</v>
      </c>
      <c r="G20" s="5" t="n">
        <v>1125</v>
      </c>
      <c r="H20" s="4" t="s">
        <v>101</v>
      </c>
    </row>
    <row r="21" customFormat="false" ht="15" hidden="false" customHeight="false" outlineLevel="0" collapsed="false">
      <c r="A21" s="4" t="s">
        <v>110</v>
      </c>
      <c r="B21" s="4" t="s">
        <v>111</v>
      </c>
      <c r="C21" s="4" t="s">
        <v>5</v>
      </c>
      <c r="D21" s="4" t="s">
        <v>6</v>
      </c>
      <c r="E21" s="4" t="s">
        <v>7</v>
      </c>
      <c r="F21" s="4" t="s">
        <v>74</v>
      </c>
      <c r="G21" s="5" t="n">
        <v>56800</v>
      </c>
      <c r="H21" s="4" t="s">
        <v>112</v>
      </c>
    </row>
    <row r="22" customFormat="false" ht="15" hidden="false" customHeight="false" outlineLevel="0" collapsed="false">
      <c r="A22" s="4" t="s">
        <v>110</v>
      </c>
      <c r="B22" s="4" t="s">
        <v>113</v>
      </c>
      <c r="C22" s="4" t="s">
        <v>5</v>
      </c>
      <c r="D22" s="4" t="s">
        <v>18</v>
      </c>
      <c r="E22" s="4" t="s">
        <v>19</v>
      </c>
      <c r="F22" s="4" t="s">
        <v>74</v>
      </c>
      <c r="G22" s="5" t="n">
        <v>6000</v>
      </c>
      <c r="H22" s="4" t="s">
        <v>112</v>
      </c>
    </row>
    <row r="23" customFormat="false" ht="15" hidden="false" customHeight="false" outlineLevel="0" collapsed="false">
      <c r="A23" s="4" t="s">
        <v>110</v>
      </c>
      <c r="B23" s="4" t="s">
        <v>114</v>
      </c>
      <c r="C23" s="4" t="s">
        <v>5</v>
      </c>
      <c r="D23" s="4" t="s">
        <v>24</v>
      </c>
      <c r="E23" s="4" t="s">
        <v>25</v>
      </c>
      <c r="F23" s="4" t="s">
        <v>74</v>
      </c>
      <c r="G23" s="5" t="n">
        <v>2800</v>
      </c>
      <c r="H23" s="4" t="s">
        <v>112</v>
      </c>
    </row>
    <row r="24" customFormat="false" ht="15" hidden="false" customHeight="false" outlineLevel="0" collapsed="false">
      <c r="A24" s="4" t="s">
        <v>115</v>
      </c>
      <c r="B24" s="4" t="s">
        <v>116</v>
      </c>
      <c r="C24" s="4" t="s">
        <v>73</v>
      </c>
      <c r="D24" s="4" t="s">
        <v>44</v>
      </c>
      <c r="E24" s="4" t="s">
        <v>45</v>
      </c>
      <c r="F24" s="4" t="s">
        <v>72</v>
      </c>
      <c r="G24" s="5" t="n">
        <v>1800</v>
      </c>
      <c r="H24" s="4" t="s">
        <v>117</v>
      </c>
    </row>
    <row r="25" customFormat="false" ht="15" hidden="false" customHeight="false" outlineLevel="0" collapsed="false">
      <c r="A25" s="4" t="s">
        <v>115</v>
      </c>
      <c r="B25" s="4" t="s">
        <v>118</v>
      </c>
      <c r="C25" s="4" t="s">
        <v>73</v>
      </c>
      <c r="D25" s="4" t="s">
        <v>44</v>
      </c>
      <c r="E25" s="4" t="s">
        <v>45</v>
      </c>
      <c r="F25" s="4" t="s">
        <v>74</v>
      </c>
      <c r="G25" s="5" t="n">
        <v>1800</v>
      </c>
      <c r="H25" s="4" t="s">
        <v>119</v>
      </c>
    </row>
    <row r="26" customFormat="false" ht="15" hidden="false" customHeight="false" outlineLevel="0" collapsed="false">
      <c r="A26" s="4" t="s">
        <v>115</v>
      </c>
      <c r="B26" s="4" t="s">
        <v>120</v>
      </c>
      <c r="C26" s="4" t="s">
        <v>73</v>
      </c>
      <c r="D26" s="4" t="s">
        <v>46</v>
      </c>
      <c r="E26" s="4" t="s">
        <v>39</v>
      </c>
      <c r="F26" s="4" t="s">
        <v>72</v>
      </c>
      <c r="G26" s="5" t="n">
        <v>1200</v>
      </c>
      <c r="H26" s="4" t="s">
        <v>117</v>
      </c>
    </row>
    <row r="27" customFormat="false" ht="15" hidden="false" customHeight="false" outlineLevel="0" collapsed="false">
      <c r="A27" s="4" t="s">
        <v>115</v>
      </c>
      <c r="B27" s="4" t="s">
        <v>121</v>
      </c>
      <c r="C27" s="4" t="s">
        <v>73</v>
      </c>
      <c r="D27" s="4" t="s">
        <v>46</v>
      </c>
      <c r="E27" s="4" t="s">
        <v>39</v>
      </c>
      <c r="F27" s="4" t="s">
        <v>74</v>
      </c>
      <c r="G27" s="5" t="n">
        <v>1200</v>
      </c>
      <c r="H27" s="4" t="s">
        <v>119</v>
      </c>
    </row>
    <row r="28" customFormat="false" ht="15" hidden="false" customHeight="false" outlineLevel="0" collapsed="false">
      <c r="A28" s="4" t="s">
        <v>115</v>
      </c>
      <c r="B28" s="4" t="s">
        <v>122</v>
      </c>
      <c r="C28" s="4" t="s">
        <v>73</v>
      </c>
      <c r="D28" s="4" t="s">
        <v>47</v>
      </c>
      <c r="E28" s="4" t="s">
        <v>37</v>
      </c>
      <c r="F28" s="4" t="s">
        <v>72</v>
      </c>
      <c r="G28" s="5" t="n">
        <v>800</v>
      </c>
      <c r="H28" s="4" t="s">
        <v>117</v>
      </c>
    </row>
    <row r="29" customFormat="false" ht="15" hidden="false" customHeight="false" outlineLevel="0" collapsed="false">
      <c r="A29" s="4" t="s">
        <v>115</v>
      </c>
      <c r="B29" s="4" t="s">
        <v>123</v>
      </c>
      <c r="C29" s="4" t="s">
        <v>73</v>
      </c>
      <c r="D29" s="4" t="s">
        <v>47</v>
      </c>
      <c r="E29" s="4" t="s">
        <v>37</v>
      </c>
      <c r="F29" s="4" t="s">
        <v>74</v>
      </c>
      <c r="G29" s="5" t="n">
        <v>800</v>
      </c>
      <c r="H29" s="4" t="s">
        <v>119</v>
      </c>
    </row>
    <row r="30" customFormat="false" ht="15" hidden="false" customHeight="false" outlineLevel="0" collapsed="false">
      <c r="A30" s="4" t="s">
        <v>115</v>
      </c>
      <c r="B30" s="4" t="s">
        <v>124</v>
      </c>
      <c r="C30" s="4" t="s">
        <v>73</v>
      </c>
      <c r="D30" s="4" t="s">
        <v>48</v>
      </c>
      <c r="E30" s="4" t="s">
        <v>49</v>
      </c>
      <c r="F30" s="4" t="s">
        <v>72</v>
      </c>
      <c r="G30" s="5" t="n">
        <v>700</v>
      </c>
      <c r="H30" s="4" t="s">
        <v>117</v>
      </c>
    </row>
    <row r="31" customFormat="false" ht="15" hidden="false" customHeight="false" outlineLevel="0" collapsed="false">
      <c r="A31" s="4" t="s">
        <v>115</v>
      </c>
      <c r="B31" s="4" t="s">
        <v>125</v>
      </c>
      <c r="C31" s="4" t="s">
        <v>73</v>
      </c>
      <c r="D31" s="4" t="s">
        <v>48</v>
      </c>
      <c r="E31" s="4" t="s">
        <v>49</v>
      </c>
      <c r="F31" s="4" t="s">
        <v>74</v>
      </c>
      <c r="G31" s="5" t="n">
        <v>700</v>
      </c>
      <c r="H31" s="4" t="s">
        <v>119</v>
      </c>
    </row>
    <row r="32" customFormat="false" ht="15" hidden="false" customHeight="false" outlineLevel="0" collapsed="false">
      <c r="A32" s="4" t="s">
        <v>115</v>
      </c>
      <c r="B32" s="4" t="s">
        <v>126</v>
      </c>
      <c r="C32" s="4" t="s">
        <v>73</v>
      </c>
      <c r="D32" s="4" t="s">
        <v>50</v>
      </c>
      <c r="E32" s="4" t="s">
        <v>51</v>
      </c>
      <c r="F32" s="4" t="s">
        <v>72</v>
      </c>
      <c r="G32" s="5" t="n">
        <v>500</v>
      </c>
      <c r="H32" s="4" t="s">
        <v>117</v>
      </c>
    </row>
    <row r="33" customFormat="false" ht="15" hidden="false" customHeight="false" outlineLevel="0" collapsed="false">
      <c r="A33" s="4" t="s">
        <v>115</v>
      </c>
      <c r="B33" s="4" t="s">
        <v>127</v>
      </c>
      <c r="C33" s="4" t="s">
        <v>73</v>
      </c>
      <c r="D33" s="4" t="s">
        <v>50</v>
      </c>
      <c r="E33" s="4" t="s">
        <v>51</v>
      </c>
      <c r="F33" s="4" t="s">
        <v>74</v>
      </c>
      <c r="G33" s="5" t="n">
        <v>500</v>
      </c>
      <c r="H33" s="4" t="s">
        <v>119</v>
      </c>
    </row>
    <row r="34" customFormat="false" ht="15" hidden="false" customHeight="false" outlineLevel="0" collapsed="false">
      <c r="A34" s="4" t="s">
        <v>128</v>
      </c>
      <c r="B34" s="4" t="s">
        <v>129</v>
      </c>
      <c r="C34" s="4" t="s">
        <v>75</v>
      </c>
      <c r="D34" s="4" t="s">
        <v>54</v>
      </c>
      <c r="E34" s="4" t="s">
        <v>55</v>
      </c>
      <c r="F34" s="4" t="s">
        <v>72</v>
      </c>
      <c r="G34" s="5" t="n">
        <v>12000</v>
      </c>
      <c r="H34" s="4" t="s">
        <v>130</v>
      </c>
    </row>
    <row r="35" customFormat="false" ht="15" hidden="false" customHeight="false" outlineLevel="0" collapsed="false">
      <c r="A35" s="4" t="s">
        <v>128</v>
      </c>
      <c r="B35" s="4" t="s">
        <v>131</v>
      </c>
      <c r="C35" s="4" t="s">
        <v>75</v>
      </c>
      <c r="D35" s="4" t="s">
        <v>54</v>
      </c>
      <c r="E35" s="4" t="s">
        <v>55</v>
      </c>
      <c r="F35" s="4" t="s">
        <v>76</v>
      </c>
      <c r="G35" s="5" t="n">
        <v>12000</v>
      </c>
      <c r="H35" s="4" t="s">
        <v>132</v>
      </c>
    </row>
    <row r="36" customFormat="false" ht="15" hidden="false" customHeight="false" outlineLevel="0" collapsed="false">
      <c r="A36" s="4" t="s">
        <v>128</v>
      </c>
      <c r="B36" s="4" t="s">
        <v>133</v>
      </c>
      <c r="C36" s="4" t="s">
        <v>75</v>
      </c>
      <c r="D36" s="4" t="s">
        <v>56</v>
      </c>
      <c r="E36" s="4" t="s">
        <v>57</v>
      </c>
      <c r="F36" s="4" t="s">
        <v>72</v>
      </c>
      <c r="G36" s="5" t="n">
        <v>13500</v>
      </c>
      <c r="H36" s="4" t="s">
        <v>130</v>
      </c>
    </row>
    <row r="37" customFormat="false" ht="15" hidden="false" customHeight="false" outlineLevel="0" collapsed="false">
      <c r="A37" s="4" t="s">
        <v>128</v>
      </c>
      <c r="B37" s="4" t="s">
        <v>134</v>
      </c>
      <c r="C37" s="4" t="s">
        <v>75</v>
      </c>
      <c r="D37" s="4" t="s">
        <v>56</v>
      </c>
      <c r="E37" s="4" t="s">
        <v>57</v>
      </c>
      <c r="F37" s="4" t="s">
        <v>76</v>
      </c>
      <c r="G37" s="5" t="n">
        <v>13500</v>
      </c>
      <c r="H37" s="4" t="s">
        <v>132</v>
      </c>
    </row>
    <row r="38" customFormat="false" ht="15" hidden="false" customHeight="false" outlineLevel="0" collapsed="false">
      <c r="A38" s="4" t="s">
        <v>128</v>
      </c>
      <c r="B38" s="4" t="s">
        <v>135</v>
      </c>
      <c r="C38" s="4" t="s">
        <v>75</v>
      </c>
      <c r="D38" s="4" t="s">
        <v>58</v>
      </c>
      <c r="E38" s="4" t="s">
        <v>59</v>
      </c>
      <c r="F38" s="4" t="s">
        <v>72</v>
      </c>
      <c r="G38" s="5" t="n">
        <v>3000</v>
      </c>
      <c r="H38" s="4" t="s">
        <v>130</v>
      </c>
    </row>
    <row r="39" customFormat="false" ht="15" hidden="false" customHeight="false" outlineLevel="0" collapsed="false">
      <c r="A39" s="4" t="s">
        <v>128</v>
      </c>
      <c r="B39" s="4" t="s">
        <v>136</v>
      </c>
      <c r="C39" s="4" t="s">
        <v>75</v>
      </c>
      <c r="D39" s="4" t="s">
        <v>58</v>
      </c>
      <c r="E39" s="4" t="s">
        <v>59</v>
      </c>
      <c r="F39" s="4" t="s">
        <v>76</v>
      </c>
      <c r="G39" s="5" t="n">
        <v>3000</v>
      </c>
      <c r="H39" s="4" t="s">
        <v>132</v>
      </c>
    </row>
    <row r="40" customFormat="false" ht="15" hidden="false" customHeight="false" outlineLevel="0" collapsed="false">
      <c r="A40" s="4" t="s">
        <v>128</v>
      </c>
      <c r="B40" s="4" t="s">
        <v>137</v>
      </c>
      <c r="C40" s="4" t="s">
        <v>75</v>
      </c>
      <c r="D40" s="4" t="s">
        <v>60</v>
      </c>
      <c r="E40" s="4" t="s">
        <v>61</v>
      </c>
      <c r="F40" s="4" t="s">
        <v>72</v>
      </c>
      <c r="G40" s="5" t="n">
        <v>4500</v>
      </c>
      <c r="H40" s="4" t="s">
        <v>130</v>
      </c>
    </row>
    <row r="41" customFormat="false" ht="15" hidden="false" customHeight="false" outlineLevel="0" collapsed="false">
      <c r="A41" s="4" t="s">
        <v>128</v>
      </c>
      <c r="B41" s="4" t="s">
        <v>138</v>
      </c>
      <c r="C41" s="4" t="s">
        <v>75</v>
      </c>
      <c r="D41" s="4" t="s">
        <v>60</v>
      </c>
      <c r="E41" s="4" t="s">
        <v>61</v>
      </c>
      <c r="F41" s="4" t="s">
        <v>76</v>
      </c>
      <c r="G41" s="5" t="n">
        <v>4500</v>
      </c>
      <c r="H41" s="4" t="s">
        <v>132</v>
      </c>
    </row>
    <row r="42" customFormat="false" ht="15" hidden="false" customHeight="false" outlineLevel="0" collapsed="false">
      <c r="A42" s="4" t="s">
        <v>128</v>
      </c>
      <c r="B42" s="4" t="s">
        <v>139</v>
      </c>
      <c r="C42" s="4" t="s">
        <v>75</v>
      </c>
      <c r="D42" s="4" t="s">
        <v>62</v>
      </c>
      <c r="E42" s="4" t="s">
        <v>63</v>
      </c>
      <c r="F42" s="4" t="s">
        <v>72</v>
      </c>
      <c r="G42" s="5" t="n">
        <v>3000</v>
      </c>
      <c r="H42" s="4" t="s">
        <v>130</v>
      </c>
    </row>
    <row r="43" customFormat="false" ht="15" hidden="false" customHeight="false" outlineLevel="0" collapsed="false">
      <c r="A43" s="4" t="s">
        <v>128</v>
      </c>
      <c r="B43" s="4" t="s">
        <v>140</v>
      </c>
      <c r="C43" s="4" t="s">
        <v>75</v>
      </c>
      <c r="D43" s="4" t="s">
        <v>62</v>
      </c>
      <c r="E43" s="4" t="s">
        <v>63</v>
      </c>
      <c r="F43" s="4" t="s">
        <v>76</v>
      </c>
      <c r="G43" s="5" t="n">
        <v>3000</v>
      </c>
      <c r="H43" s="4" t="s">
        <v>132</v>
      </c>
    </row>
    <row r="44" customFormat="false" ht="15" hidden="false" customHeight="false" outlineLevel="0" collapsed="false">
      <c r="A44" s="4" t="s">
        <v>141</v>
      </c>
      <c r="B44" s="4" t="s">
        <v>142</v>
      </c>
      <c r="C44" s="4" t="s">
        <v>5</v>
      </c>
      <c r="D44" s="4" t="s">
        <v>6</v>
      </c>
      <c r="E44" s="4" t="s">
        <v>7</v>
      </c>
      <c r="F44" s="4" t="s">
        <v>74</v>
      </c>
      <c r="G44" s="5" t="n">
        <v>31240</v>
      </c>
      <c r="H44" s="4" t="s">
        <v>143</v>
      </c>
    </row>
    <row r="45" customFormat="false" ht="15" hidden="false" customHeight="false" outlineLevel="0" collapsed="false">
      <c r="A45" s="4" t="s">
        <v>141</v>
      </c>
      <c r="B45" s="4" t="s">
        <v>144</v>
      </c>
      <c r="C45" s="4" t="s">
        <v>5</v>
      </c>
      <c r="D45" s="4" t="s">
        <v>18</v>
      </c>
      <c r="E45" s="4" t="s">
        <v>19</v>
      </c>
      <c r="F45" s="4" t="s">
        <v>74</v>
      </c>
      <c r="G45" s="5" t="n">
        <v>3300</v>
      </c>
      <c r="H45" s="4" t="s">
        <v>143</v>
      </c>
    </row>
    <row r="46" customFormat="false" ht="15" hidden="false" customHeight="false" outlineLevel="0" collapsed="false">
      <c r="A46" s="4" t="s">
        <v>141</v>
      </c>
      <c r="B46" s="4" t="s">
        <v>145</v>
      </c>
      <c r="C46" s="4" t="s">
        <v>5</v>
      </c>
      <c r="D46" s="4" t="s">
        <v>24</v>
      </c>
      <c r="E46" s="4" t="s">
        <v>25</v>
      </c>
      <c r="F46" s="4" t="s">
        <v>74</v>
      </c>
      <c r="G46" s="5" t="n">
        <v>1540</v>
      </c>
      <c r="H46" s="4" t="s">
        <v>143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9" t="s">
        <v>146</v>
      </c>
      <c r="G48" s="10" t="n">
        <f aca="false">SUM(G4:G46)</f>
        <v>291780</v>
      </c>
      <c r="H48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147</v>
      </c>
      <c r="B1" s="1"/>
      <c r="C1" s="1"/>
      <c r="D1" s="1"/>
      <c r="E1" s="1"/>
      <c r="F1" s="1"/>
    </row>
    <row r="3" customFormat="false" ht="25.3" hidden="false" customHeight="false" outlineLevel="0" collapsed="false">
      <c r="A3" s="2" t="s">
        <v>67</v>
      </c>
      <c r="B3" s="2" t="s">
        <v>68</v>
      </c>
      <c r="C3" s="2" t="s">
        <v>148</v>
      </c>
      <c r="D3" s="2" t="s">
        <v>149</v>
      </c>
      <c r="E3" s="2" t="s">
        <v>150</v>
      </c>
      <c r="F3" s="2" t="s">
        <v>151</v>
      </c>
    </row>
    <row r="4" customFormat="false" ht="15" hidden="false" customHeight="false" outlineLevel="0" collapsed="false">
      <c r="A4" s="4" t="s">
        <v>71</v>
      </c>
      <c r="B4" s="4" t="s">
        <v>72</v>
      </c>
      <c r="C4" s="11" t="n">
        <f aca="false">SUMIFS('Budget previsionnel'!$E$4:$E$27,'Budget previsionnel'!$C$4:$C$27,A4,'Budget previsionnel'!$D$4:$D$27,B4)</f>
        <v>20000</v>
      </c>
      <c r="D4" s="11" t="n">
        <f aca="false">SUMIFS('Grand livre'!$G$4:$G$46,'Grand livre'!$C$4:$C$46,A4,'Grand livre'!$F$4:$F$46,B4)</f>
        <v>20000</v>
      </c>
      <c r="E4" s="6" t="n">
        <f aca="false">IFERROR(D4/C4,0)</f>
        <v>1</v>
      </c>
      <c r="F4" s="11" t="n">
        <f aca="false">C4-D4</f>
        <v>0</v>
      </c>
    </row>
    <row r="5" customFormat="false" ht="15" hidden="false" customHeight="false" outlineLevel="0" collapsed="false">
      <c r="A5" s="4" t="s">
        <v>73</v>
      </c>
      <c r="B5" s="4" t="s">
        <v>72</v>
      </c>
      <c r="C5" s="11" t="n">
        <f aca="false">SUMIFS('Budget previsionnel'!$E$4:$E$27,'Budget previsionnel'!$C$4:$C$27,A5,'Budget previsionnel'!$D$4:$D$27,B5)</f>
        <v>25000</v>
      </c>
      <c r="D5" s="11" t="n">
        <f aca="false">SUMIFS('Grand livre'!$G$4:$G$46,'Grand livre'!$C$4:$C$46,A5,'Grand livre'!$F$4:$F$46,B5)</f>
        <v>16250</v>
      </c>
      <c r="E5" s="6" t="n">
        <f aca="false">IFERROR(D5/C5,0)</f>
        <v>0.65</v>
      </c>
      <c r="F5" s="11" t="n">
        <f aca="false">C5-D5</f>
        <v>8750</v>
      </c>
    </row>
    <row r="6" customFormat="false" ht="15" hidden="false" customHeight="false" outlineLevel="0" collapsed="false">
      <c r="A6" s="4" t="s">
        <v>73</v>
      </c>
      <c r="B6" s="4" t="s">
        <v>74</v>
      </c>
      <c r="C6" s="11" t="n">
        <f aca="false">SUMIFS('Budget previsionnel'!$E$4:$E$27,'Budget previsionnel'!$C$4:$C$27,A6,'Budget previsionnel'!$D$4:$D$27,B6)</f>
        <v>25000</v>
      </c>
      <c r="D6" s="11" t="n">
        <f aca="false">SUMIFS('Grand livre'!$G$4:$G$46,'Grand livre'!$C$4:$C$46,A6,'Grand livre'!$F$4:$F$46,B6)</f>
        <v>16250</v>
      </c>
      <c r="E6" s="6" t="n">
        <f aca="false">IFERROR(D6/C6,0)</f>
        <v>0.65</v>
      </c>
      <c r="F6" s="11" t="n">
        <f aca="false">C6-D6</f>
        <v>8750</v>
      </c>
    </row>
    <row r="7" customFormat="false" ht="15" hidden="false" customHeight="false" outlineLevel="0" collapsed="false">
      <c r="A7" s="4" t="s">
        <v>75</v>
      </c>
      <c r="B7" s="4" t="s">
        <v>72</v>
      </c>
      <c r="C7" s="11" t="n">
        <f aca="false">SUMIFS('Budget previsionnel'!$E$4:$E$27,'Budget previsionnel'!$C$4:$C$27,A7,'Budget previsionnel'!$D$4:$D$27,B7)</f>
        <v>60000</v>
      </c>
      <c r="D7" s="11" t="n">
        <f aca="false">SUMIFS('Grand livre'!$G$4:$G$46,'Grand livre'!$C$4:$C$46,A7,'Grand livre'!$F$4:$F$46,B7)</f>
        <v>36000</v>
      </c>
      <c r="E7" s="6" t="n">
        <f aca="false">IFERROR(D7/C7,0)</f>
        <v>0.6</v>
      </c>
      <c r="F7" s="11" t="n">
        <f aca="false">C7-D7</f>
        <v>24000</v>
      </c>
    </row>
    <row r="8" customFormat="false" ht="15" hidden="false" customHeight="false" outlineLevel="0" collapsed="false">
      <c r="A8" s="4" t="s">
        <v>75</v>
      </c>
      <c r="B8" s="4" t="s">
        <v>76</v>
      </c>
      <c r="C8" s="11" t="n">
        <f aca="false">SUMIFS('Budget previsionnel'!$E$4:$E$27,'Budget previsionnel'!$C$4:$C$27,A8,'Budget previsionnel'!$D$4:$D$27,B8)</f>
        <v>60000</v>
      </c>
      <c r="D8" s="11" t="n">
        <f aca="false">SUMIFS('Grand livre'!$G$4:$G$46,'Grand livre'!$C$4:$C$46,A8,'Grand livre'!$F$4:$F$46,B8)</f>
        <v>36000</v>
      </c>
      <c r="E8" s="6" t="n">
        <f aca="false">IFERROR(D8/C8,0)</f>
        <v>0.6</v>
      </c>
      <c r="F8" s="11" t="n">
        <f aca="false">C8-D8</f>
        <v>24000</v>
      </c>
    </row>
    <row r="10" customFormat="false" ht="15" hidden="false" customHeight="false" outlineLevel="0" collapsed="false">
      <c r="A10" s="8"/>
      <c r="B10" s="9" t="s">
        <v>78</v>
      </c>
      <c r="C10" s="10" t="n">
        <f aca="false">SUM(C4:C8)</f>
        <v>190000</v>
      </c>
      <c r="D10" s="10" t="n">
        <f aca="false">SUM(D4:D8)</f>
        <v>124500</v>
      </c>
      <c r="E10" s="12" t="n">
        <f aca="false">IFERROR(D10/C10,0)</f>
        <v>0.655263157894737</v>
      </c>
      <c r="F10" s="10" t="n">
        <f aca="false">SUM(F4:F8)</f>
        <v>65500</v>
      </c>
    </row>
    <row r="12" customFormat="false" ht="30" hidden="false" customHeight="true" outlineLevel="0" collapsed="false">
      <c r="A12" s="13" t="s">
        <v>152</v>
      </c>
      <c r="B12" s="13"/>
      <c r="C12" s="13"/>
      <c r="D12" s="13"/>
      <c r="E12" s="13"/>
      <c r="F12" s="13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2026-07-13T13:23:01Z</dcterms:created>
  <dc:creator>openpyxl</dc:creator>
  <dc:description/>
  <dc:language>fr-FR</dc:language>
  <cp:lastModifiedBy/>
  <dcterms:modified xsi:type="dcterms:W3CDTF">2026-07-13T13:23:01Z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